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9A5F2C-C2FB-4293-A5D2-29BA63762CE9}" xr6:coauthVersionLast="47" xr6:coauthVersionMax="47" xr10:uidLastSave="{00000000-0000-0000-0000-000000000000}"/>
  <bookViews>
    <workbookView xWindow="-108" yWindow="-108" windowWidth="23256" windowHeight="12456" xr2:uid="{6B1748F0-C3B8-47D6-881F-EE246DE28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I48" i="1"/>
  <c r="I47" i="1"/>
  <c r="G47" i="1"/>
  <c r="F47" i="1"/>
  <c r="E47" i="1"/>
  <c r="D47" i="1"/>
  <c r="C47" i="1"/>
  <c r="D46" i="1"/>
  <c r="E46" i="1"/>
  <c r="F46" i="1"/>
  <c r="G46" i="1"/>
  <c r="C46" i="1"/>
  <c r="I45" i="1"/>
  <c r="I44" i="1"/>
  <c r="J39" i="1"/>
  <c r="I40" i="1"/>
  <c r="I39" i="1"/>
  <c r="G39" i="1"/>
  <c r="F39" i="1"/>
  <c r="E39" i="1"/>
  <c r="D39" i="1"/>
  <c r="C39" i="1"/>
  <c r="D38" i="1"/>
  <c r="E38" i="1"/>
  <c r="F38" i="1"/>
  <c r="G38" i="1"/>
  <c r="C38" i="1"/>
  <c r="I37" i="1"/>
  <c r="I36" i="1"/>
  <c r="J31" i="1"/>
  <c r="I32" i="1"/>
  <c r="I31" i="1"/>
  <c r="G31" i="1"/>
  <c r="F31" i="1"/>
  <c r="E31" i="1"/>
  <c r="D31" i="1"/>
  <c r="C31" i="1"/>
  <c r="D30" i="1"/>
  <c r="E30" i="1"/>
  <c r="F30" i="1"/>
  <c r="G30" i="1"/>
  <c r="C30" i="1"/>
  <c r="I29" i="1"/>
  <c r="I28" i="1"/>
  <c r="G23" i="1"/>
  <c r="F23" i="1"/>
  <c r="E23" i="1"/>
  <c r="C23" i="1"/>
  <c r="D22" i="1"/>
  <c r="D23" i="1" s="1"/>
  <c r="E22" i="1"/>
  <c r="F22" i="1"/>
  <c r="G22" i="1"/>
  <c r="C22" i="1"/>
  <c r="I21" i="1"/>
  <c r="I24" i="1" s="1"/>
  <c r="I20" i="1"/>
  <c r="J15" i="1"/>
  <c r="I16" i="1"/>
  <c r="I15" i="1"/>
  <c r="G15" i="1"/>
  <c r="F15" i="1"/>
  <c r="E15" i="1"/>
  <c r="D15" i="1"/>
  <c r="C15" i="1"/>
  <c r="D14" i="1"/>
  <c r="E14" i="1"/>
  <c r="F14" i="1"/>
  <c r="G14" i="1"/>
  <c r="C14" i="1"/>
  <c r="I13" i="1"/>
  <c r="I12" i="1"/>
  <c r="J7" i="1"/>
  <c r="I8" i="1"/>
  <c r="I7" i="1"/>
  <c r="G7" i="1"/>
  <c r="F7" i="1"/>
  <c r="E7" i="1"/>
  <c r="D7" i="1"/>
  <c r="C7" i="1"/>
  <c r="D6" i="1"/>
  <c r="E6" i="1"/>
  <c r="F6" i="1"/>
  <c r="G6" i="1"/>
  <c r="C6" i="1"/>
  <c r="I5" i="1"/>
  <c r="I4" i="1"/>
  <c r="I23" i="1" l="1"/>
  <c r="J23" i="1"/>
</calcChain>
</file>

<file path=xl/sharedStrings.xml><?xml version="1.0" encoding="utf-8"?>
<sst xmlns="http://schemas.openxmlformats.org/spreadsheetml/2006/main" count="54" uniqueCount="15">
  <si>
    <t>Performance</t>
  </si>
  <si>
    <t>Penilaian</t>
  </si>
  <si>
    <t>STP (1)</t>
  </si>
  <si>
    <t>TP (2)</t>
  </si>
  <si>
    <t>N (3)</t>
  </si>
  <si>
    <t>P (4)</t>
  </si>
  <si>
    <t>SP (5)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</si>
  <si>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</si>
  <si>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</si>
  <si>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</si>
  <si>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</si>
  <si>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</si>
  <si>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</si>
  <si>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</si>
  <si>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P(4)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</si>
</sst>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(Sheet1!$J$7,Sheet1!$J$15,Sheet1!$J$23,Sheet1!$J$31,Sheet1!$J$39,Sheet1!$J$47)</c:f>
              <c:numCache>
                <c:formatCode>General</c:formatCode>
                <c:ptCount val="6"/>
                <c:pt idx="0">
                  <c:v>4.0526315789473681</c:v>
                </c:pt>
                <c:pt idx="1">
                  <c:v>3.8815789473684212</c:v>
                </c:pt>
                <c:pt idx="2">
                  <c:v>4.0394736842105265</c:v>
                </c:pt>
                <c:pt idx="3">
                  <c:v>3.6184210526315788</c:v>
                </c:pt>
                <c:pt idx="4">
                  <c:v>4.1447368421052628</c:v>
                </c:pt>
                <c:pt idx="5">
                  <c:v>3.8157894736842106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2-445B-B289-6FA1ADC4A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507279"/>
        <c:axId val="1183507759"/>
      </c:radarChart>
      <c:catAx>
        <c:axId val="1183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07759"/>
        <c:crosses val="autoZero"/>
        <c:auto val="1"/>
        <c:lblAlgn val="ctr"/>
        <c:lblOffset val="100"/>
        <c:noMultiLvlLbl val="0"/>
      </c:catAx>
      <c:valAx>
        <c:axId val="11835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0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606425</xdr:colOff>
      <xdr:row>6</xdr:row>
      <xdr:rowOff>136525</xdr:rowOff>
    </xdr:from>
    <xdr:to>
      <xdr:col>18</xdr:col>
      <xdr:colOff>301625</xdr:colOff>
      <xdr:row>21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F0BD70-6FAC-AADD-E8C0-79CA03BC4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628D-1C15-4FEA-B6C2-4B783D157209}">
  <dimension ref="B2:J48"/>
  <sheetViews>
    <sheetView tabSelected="1" workbookViewId="0">
      <selection activeCell="I7" sqref="I7"/>
    </sheetView>
  </sheetViews>
  <sheetFormatPr defaultRowHeight="13.8"/>
  <cols>
    <col min="2" max="2" width="17.8984375" customWidth="1"/>
  </cols>
  <sheetData>
    <row r="2" spans="2:10">
      <c r="B2" s="1" t="s">
        <v>0</v>
      </c>
    </row>
    <row r="3" spans="2:10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10">
      <c r="B4" t="s">
        <v>7</v>
      </c>
      <c r="C4">
        <v>0</v>
      </c>
      <c r="D4">
        <v>0</v>
      </c>
      <c r="E4">
        <v>6</v>
      </c>
      <c r="F4">
        <v>13</v>
      </c>
      <c r="G4">
        <v>19</v>
      </c>
      <c r="I4">
        <f>SUM(C4:G4)</f>
        <v>38</v>
      </c>
    </row>
    <row r="5" spans="2:10">
      <c r="B5" t="s">
        <v>8</v>
      </c>
      <c r="C5">
        <v>1</v>
      </c>
      <c r="D5">
        <v>2</v>
      </c>
      <c r="E5">
        <v>10</v>
      </c>
      <c r="F5">
        <v>17</v>
      </c>
      <c r="G5">
        <v>8</v>
      </c>
      <c r="I5">
        <f>SUM(C5:G5)</f>
        <v>38</v>
      </c>
    </row>
    <row r="6" spans="2:10">
      <c r="C6">
        <f>C4+C5</f>
        <v>1</v>
      </c>
      <c r="D6">
        <f t="shared" ref="D6:G6" si="0">D4+D5</f>
        <v>2</v>
      </c>
      <c r="E6">
        <f t="shared" si="0"/>
        <v>16</v>
      </c>
      <c r="F6">
        <f t="shared" si="0"/>
        <v>30</v>
      </c>
      <c r="G6">
        <f t="shared" si="0"/>
        <v>27</v>
      </c>
    </row>
    <row r="7" spans="2:10">
      <c r="C7">
        <f>C6*1</f>
        <v>1</v>
      </c>
      <c r="D7">
        <f>D6*2</f>
        <v>4</v>
      </c>
      <c r="E7">
        <f>E6*3</f>
        <v>48</v>
      </c>
      <c r="F7">
        <f>F6*4</f>
        <v>120</v>
      </c>
      <c r="G7">
        <f>G6*5</f>
        <v>135</v>
      </c>
      <c r="I7">
        <f>SUM(C7:G7)</f>
        <v>308</v>
      </c>
      <c r="J7" s="1">
        <f>I7/I8</f>
        <v>4.0526315789473681</v>
      </c>
    </row>
    <row r="8" spans="2:10">
      <c r="I8">
        <f>I4+I5</f>
        <v>76</v>
      </c>
    </row>
    <row r="10" spans="2:10">
      <c r="B10" s="1" t="s">
        <v>9</v>
      </c>
    </row>
    <row r="11" spans="2:10"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2:10">
      <c r="B12" t="s">
        <v>7</v>
      </c>
      <c r="C12">
        <v>0</v>
      </c>
      <c r="D12">
        <v>4</v>
      </c>
      <c r="E12">
        <v>8</v>
      </c>
      <c r="F12">
        <v>19</v>
      </c>
      <c r="G12">
        <v>7</v>
      </c>
      <c r="I12">
        <f>SUM(C12:G12)</f>
        <v>38</v>
      </c>
    </row>
    <row r="13" spans="2:10">
      <c r="B13" t="s">
        <v>8</v>
      </c>
      <c r="C13">
        <v>0</v>
      </c>
      <c r="D13">
        <v>1</v>
      </c>
      <c r="E13">
        <v>12</v>
      </c>
      <c r="F13">
        <v>11</v>
      </c>
      <c r="G13">
        <v>14</v>
      </c>
      <c r="I13">
        <f>SUM(C13:G13)</f>
        <v>38</v>
      </c>
    </row>
    <row r="14" spans="2:10">
      <c r="C14">
        <f>C12+C13</f>
        <v>0</v>
      </c>
      <c r="D14">
        <f t="shared" ref="D14:G14" si="1">D12+D13</f>
        <v>5</v>
      </c>
      <c r="E14">
        <f t="shared" si="1"/>
        <v>20</v>
      </c>
      <c r="F14">
        <f t="shared" si="1"/>
        <v>30</v>
      </c>
      <c r="G14">
        <f t="shared" si="1"/>
        <v>21</v>
      </c>
    </row>
    <row r="15" spans="2:10">
      <c r="C15">
        <f>C14*1</f>
        <v>0</v>
      </c>
      <c r="D15">
        <f>D14*2</f>
        <v>10</v>
      </c>
      <c r="E15">
        <f>E14*3</f>
        <v>60</v>
      </c>
      <c r="F15">
        <f>F14*4</f>
        <v>120</v>
      </c>
      <c r="G15">
        <f>G14*5</f>
        <v>105</v>
      </c>
      <c r="I15">
        <f>SUM(C15:G15)</f>
        <v>295</v>
      </c>
      <c r="J15" s="1">
        <f>I15/I16</f>
        <v>3.8815789473684212</v>
      </c>
    </row>
    <row r="16" spans="2:10">
      <c r="I16">
        <f>I13+I12</f>
        <v>76</v>
      </c>
    </row>
    <row r="18" spans="2:10">
      <c r="B18" s="1" t="s">
        <v>10</v>
      </c>
    </row>
    <row r="19" spans="2:10"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2:10">
      <c r="B20" t="s">
        <v>7</v>
      </c>
      <c r="C20">
        <v>0</v>
      </c>
      <c r="D20">
        <v>2</v>
      </c>
      <c r="E20">
        <v>8</v>
      </c>
      <c r="F20">
        <v>14</v>
      </c>
      <c r="G20">
        <v>14</v>
      </c>
      <c r="I20">
        <f>SUM(C20:G20)</f>
        <v>38</v>
      </c>
    </row>
    <row r="21" spans="2:10">
      <c r="B21" t="s">
        <v>8</v>
      </c>
      <c r="C21">
        <v>0</v>
      </c>
      <c r="D21">
        <v>0</v>
      </c>
      <c r="E21">
        <v>12</v>
      </c>
      <c r="F21">
        <v>13</v>
      </c>
      <c r="G21">
        <v>13</v>
      </c>
      <c r="I21">
        <f>SUM(C21:G21)</f>
        <v>38</v>
      </c>
    </row>
    <row r="22" spans="2:10">
      <c r="C22">
        <f>C20+C21</f>
        <v>0</v>
      </c>
      <c r="D22">
        <f t="shared" ref="D22:G22" si="2">D20+D21</f>
        <v>2</v>
      </c>
      <c r="E22">
        <f t="shared" si="2"/>
        <v>20</v>
      </c>
      <c r="F22">
        <f t="shared" si="2"/>
        <v>27</v>
      </c>
      <c r="G22">
        <f t="shared" si="2"/>
        <v>27</v>
      </c>
    </row>
    <row r="23" spans="2:10">
      <c r="C23">
        <f>C22*1</f>
        <v>0</v>
      </c>
      <c r="D23">
        <f>D22*2</f>
        <v>4</v>
      </c>
      <c r="E23">
        <f>E22*3</f>
        <v>60</v>
      </c>
      <c r="F23">
        <f>F22*4</f>
        <v>108</v>
      </c>
      <c r="G23">
        <f>G22*5</f>
        <v>135</v>
      </c>
      <c r="I23">
        <f>SUM(C23:G23)</f>
        <v>307</v>
      </c>
      <c r="J23" s="1">
        <f>I23/I24</f>
        <v>4.0394736842105265</v>
      </c>
    </row>
    <row r="24" spans="2:10">
      <c r="I24">
        <f>I20+I21</f>
        <v>76</v>
      </c>
    </row>
    <row r="26" spans="2:10">
      <c r="B26" s="1" t="s">
        <v>11</v>
      </c>
    </row>
    <row r="27" spans="2:10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</row>
    <row r="28" spans="2:10">
      <c r="B28" t="s">
        <v>7</v>
      </c>
      <c r="C28">
        <v>0</v>
      </c>
      <c r="D28">
        <v>4</v>
      </c>
      <c r="E28">
        <v>15</v>
      </c>
      <c r="F28">
        <v>13</v>
      </c>
      <c r="G28">
        <v>6</v>
      </c>
      <c r="I28">
        <f>G28+F28+E28+D28+C28</f>
        <v>38</v>
      </c>
    </row>
    <row r="29" spans="2:10">
      <c r="B29" t="s">
        <v>8</v>
      </c>
      <c r="C29">
        <v>0</v>
      </c>
      <c r="D29">
        <v>3</v>
      </c>
      <c r="E29">
        <v>14</v>
      </c>
      <c r="F29">
        <v>13</v>
      </c>
      <c r="G29">
        <v>8</v>
      </c>
      <c r="I29">
        <f>G29+F29+E29+D29+C29</f>
        <v>38</v>
      </c>
    </row>
    <row r="30" spans="2:10">
      <c r="C30">
        <f>C28+C29</f>
        <v>0</v>
      </c>
      <c r="D30">
        <f t="shared" ref="D30:G30" si="3">D28+D29</f>
        <v>7</v>
      </c>
      <c r="E30">
        <f t="shared" si="3"/>
        <v>29</v>
      </c>
      <c r="F30">
        <f t="shared" si="3"/>
        <v>26</v>
      </c>
      <c r="G30">
        <f t="shared" si="3"/>
        <v>14</v>
      </c>
    </row>
    <row r="31" spans="2:10">
      <c r="C31">
        <f>C30*1</f>
        <v>0</v>
      </c>
      <c r="D31">
        <f>D30*2</f>
        <v>14</v>
      </c>
      <c r="E31">
        <f>E30*3</f>
        <v>87</v>
      </c>
      <c r="F31">
        <f>F30*4</f>
        <v>104</v>
      </c>
      <c r="G31">
        <f>G30*5</f>
        <v>70</v>
      </c>
      <c r="I31">
        <f>SUM(C31:G31)</f>
        <v>275</v>
      </c>
      <c r="J31" s="1">
        <f>I31/I32</f>
        <v>3.6184210526315788</v>
      </c>
    </row>
    <row r="32" spans="2:10">
      <c r="I32">
        <f>I29+I28</f>
        <v>76</v>
      </c>
    </row>
    <row r="34" spans="2:10">
      <c r="B34" s="1" t="s">
        <v>12</v>
      </c>
    </row>
    <row r="35" spans="2:10"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</row>
    <row r="36" spans="2:10">
      <c r="B36" t="s">
        <v>7</v>
      </c>
      <c r="C36">
        <v>0</v>
      </c>
      <c r="D36">
        <v>1</v>
      </c>
      <c r="E36">
        <v>11</v>
      </c>
      <c r="F36">
        <v>11</v>
      </c>
      <c r="G36">
        <v>15</v>
      </c>
      <c r="I36">
        <f>SUM(C36:G36)</f>
        <v>38</v>
      </c>
    </row>
    <row r="37" spans="2:10">
      <c r="B37" t="s">
        <v>8</v>
      </c>
      <c r="D37">
        <v>1</v>
      </c>
      <c r="E37">
        <v>7</v>
      </c>
      <c r="F37">
        <v>12</v>
      </c>
      <c r="G37">
        <v>18</v>
      </c>
      <c r="I37">
        <f>SUM(C37:G37)</f>
        <v>38</v>
      </c>
    </row>
    <row r="38" spans="2:10">
      <c r="C38">
        <f>C37+C36</f>
        <v>0</v>
      </c>
      <c r="D38">
        <f t="shared" ref="D38:G38" si="4">D37+D36</f>
        <v>2</v>
      </c>
      <c r="E38">
        <f t="shared" si="4"/>
        <v>18</v>
      </c>
      <c r="F38">
        <f t="shared" si="4"/>
        <v>23</v>
      </c>
      <c r="G38">
        <f t="shared" si="4"/>
        <v>33</v>
      </c>
    </row>
    <row r="39" spans="2:10">
      <c r="C39">
        <f>C38*1</f>
        <v>0</v>
      </c>
      <c r="D39">
        <f>D38*2</f>
        <v>4</v>
      </c>
      <c r="E39">
        <f>E38*3</f>
        <v>54</v>
      </c>
      <c r="F39">
        <f>F38*4</f>
        <v>92</v>
      </c>
      <c r="G39">
        <f>G38*5</f>
        <v>165</v>
      </c>
      <c r="I39">
        <f>SUM(C39:G39)</f>
        <v>315</v>
      </c>
      <c r="J39" s="1">
        <f>I39/I40</f>
        <v>4.1447368421052628</v>
      </c>
    </row>
    <row r="40" spans="2:10">
      <c r="I40">
        <f>I37+I36</f>
        <v>76</v>
      </c>
    </row>
    <row r="42" spans="2:10">
      <c r="B42" t="s">
        <v>13</v>
      </c>
    </row>
    <row r="43" spans="2:10">
      <c r="B43" t="s">
        <v>1</v>
      </c>
      <c r="C43" t="s">
        <v>2</v>
      </c>
      <c r="D43" t="s">
        <v>3</v>
      </c>
      <c r="E43" t="s">
        <v>4</v>
      </c>
      <c r="F43" t="s">
        <v>14</v>
      </c>
      <c r="G43" t="s">
        <v>6</v>
      </c>
    </row>
    <row r="44" spans="2:10">
      <c r="B44" t="s">
        <v>7</v>
      </c>
      <c r="D44">
        <v>3</v>
      </c>
      <c r="E44">
        <v>16</v>
      </c>
      <c r="F44">
        <v>11</v>
      </c>
      <c r="G44">
        <v>8</v>
      </c>
      <c r="I44">
        <f>SUM(C44:G44)</f>
        <v>38</v>
      </c>
    </row>
    <row r="45" spans="2:10">
      <c r="B45" t="s">
        <v>8</v>
      </c>
      <c r="D45">
        <v>1</v>
      </c>
      <c r="E45">
        <v>6</v>
      </c>
      <c r="F45">
        <v>23</v>
      </c>
      <c r="G45">
        <v>8</v>
      </c>
      <c r="I45">
        <f>SUM(C45:G45)</f>
        <v>38</v>
      </c>
    </row>
    <row r="46" spans="2:10">
      <c r="C46">
        <f>C44+C45</f>
        <v>0</v>
      </c>
      <c r="D46">
        <f t="shared" ref="D46:G46" si="5">D44+D45</f>
        <v>4</v>
      </c>
      <c r="E46">
        <f t="shared" si="5"/>
        <v>22</v>
      </c>
      <c r="F46">
        <f t="shared" si="5"/>
        <v>34</v>
      </c>
      <c r="G46">
        <f t="shared" si="5"/>
        <v>16</v>
      </c>
    </row>
    <row r="47" spans="2:10">
      <c r="C47">
        <f>C46*1</f>
        <v>0</v>
      </c>
      <c r="D47">
        <f>D46*2</f>
        <v>8</v>
      </c>
      <c r="E47">
        <f>E46*3</f>
        <v>66</v>
      </c>
      <c r="F47">
        <f>F46*4</f>
        <v>136</v>
      </c>
      <c r="G47">
        <f>G46*5</f>
        <v>80</v>
      </c>
      <c r="I47">
        <f>SUM(C47:G47)</f>
        <v>290</v>
      </c>
      <c r="J47" s="1">
        <f>I47/I48</f>
        <v>3.8157894736842106</v>
      </c>
    </row>
    <row r="48" spans="2:10">
      <c r="I48">
        <f>I45+I44</f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Siskus</dc:creator>
  <cp:lastModifiedBy>USER</cp:lastModifiedBy>
  <dcterms:created xsi:type="dcterms:W3CDTF">2026-05-30T21:03:28Z</dcterms:created>
  <dcterms:modified xsi:type="dcterms:W3CDTF">2026-06-08T05:14:50Z</dcterms:modified>
</cp:coreProperties>
</file>